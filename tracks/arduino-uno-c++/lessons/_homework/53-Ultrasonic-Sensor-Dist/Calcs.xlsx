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lberta-my.sharepoint.com/personal/franger_ualberta_ca/Documents/"/>
    </mc:Choice>
  </mc:AlternateContent>
  <xr:revisionPtr revIDLastSave="0" documentId="8_{D449033E-96AB-40EF-ADE3-80D9FD96EADF}" xr6:coauthVersionLast="47" xr6:coauthVersionMax="47" xr10:uidLastSave="{00000000-0000-0000-0000-000000000000}"/>
  <bookViews>
    <workbookView xWindow="-110" yWindow="-110" windowWidth="22180" windowHeight="14140" xr2:uid="{7D126C76-07D7-49D3-BAAA-20C84CB6E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 a="1"/>
  <c r="F1" i="1" s="1"/>
  <c r="A8" i="1"/>
  <c r="A7" i="1"/>
  <c r="A6" i="1"/>
  <c r="A5" i="1"/>
  <c r="A4" i="1"/>
  <c r="A3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<sst xmlns="http://schemas.openxmlformats.org/spreadsheetml/2006/main" count="5" uniqueCount="5">
  <si>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Time (micros)</t>
  </si>
  <si>
    <t>Distance (cm)</t>
  </si>
  <si>
    <t>y-int</t>
  </si>
  <si>
    <t>slope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</si>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</sst>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Distance/Time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Sheet1!$B$2:$B$8</c:f>
              <c:numCache>
                <c:formatCode>General</c:formatCode>
                <c:ptCount val="7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</c:numCache>
            </c:numRef>
          </c:xVal>
          <c:yVal>
            <c:numRef>
              <c:f>Sheet1!$A$2:$A$8</c:f>
              <c:numCache>
                <c:formatCode>General</c:formatCode>
                <c:ptCount val="7"/>
                <c:pt idx="0">
                  <c:v>3.4000000000000004</c:v>
                </c:pt>
                <c:pt idx="1">
                  <c:v>5.5</c:v>
                </c:pt>
                <c:pt idx="2">
                  <c:v>7</c:v>
                </c:pt>
                <c:pt idx="3">
                  <c:v>8.3000000000000007</c:v>
                </c:pt>
                <c:pt idx="4">
                  <c:v>9.7000000000000011</c:v>
                </c:pt>
                <c:pt idx="5">
                  <c:v>11.9</c:v>
                </c:pt>
                <c:pt idx="6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A-48DB-9563-B05E20EB81F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06792992"/>
        <c:axId val="1706795392"/>
      </c:scatterChart>
      <c:valAx>
        <c:axId val="17067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95392"/>
        <c:crosses val="autoZero"/>
        <c:crossBetween val="midCat"/>
      </c:valAx>
      <c:valAx>
        <c:axId val="17067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8</xdr:row>
      <xdr:rowOff>12700</xdr:rowOff>
    </xdr:from>
    <xdr:to>
      <xdr:col>13</xdr:col>
      <xdr:colOff>257175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BF27C-F09D-5F45-F78D-979C9E9AC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BE7E-08F4-4426-9F4F-FC7B2BF04A67}">
  <dimension ref="A1:H8"/>
  <sheetViews>
    <sheetView tabSelected="1" zoomScaleNormal="100" workbookViewId="0">
      <selection activeCell="N8" sqref="N8"/>
    </sheetView>
  </sheetViews>
  <sheetFormatPr defaultRowHeight="14.5" x14ac:dyDescent="0.35"/>
  <cols>
    <col min="1" max="1" width="12.453125" customWidth="1"/>
    <col min="2" max="2" width="15.6328125" customWidth="1"/>
    <col min="4" max="4" width="6.54296875" customWidth="1"/>
    <col min="5" max="5" width="12.453125" customWidth="1"/>
    <col min="15" max="15" width="11.7265625" customWidth="1"/>
  </cols>
  <sheetData>
    <row r="1" spans="1:8" x14ac:dyDescent="0.35">
      <c r="A1" t="s">
        <v>1</v>
      </c>
      <c r="B1" t="s">
        <v>0</v>
      </c>
      <c r="E1" t="s">
        <v>3</v>
      </c>
      <c r="F1" cm="1">
        <f t="array" ref="F1:G5">LINEST(A2:A8,B2:B8,FALSE,TRUE)</f>
        <v>1.7059113300492611E-2</v>
      </c>
      <c r="G1">
        <v>0</v>
      </c>
      <c r="H1" t="s">
        <v>2</v>
      </c>
    </row>
    <row r="2" spans="1:8" x14ac:dyDescent="0.35">
      <c r="A2">
        <f>1.8+1.6</f>
        <v>3.4000000000000004</v>
      </c>
      <c r="B2">
        <v>200</v>
      </c>
      <c r="E2" t="s">
        <v>4</v>
      </c>
      <c r="F2">
        <v>2.2974720239132579E-4</v>
      </c>
      <c r="G2" t="e">
        <v>#N/A</v>
      </c>
    </row>
    <row r="3" spans="1:8" x14ac:dyDescent="0.35">
      <c r="A3">
        <f>1.8+3.7</f>
        <v>5.5</v>
      </c>
      <c r="B3">
        <v>300</v>
      </c>
      <c r="F3">
        <v>0.99891290767003571</v>
      </c>
      <c r="G3">
        <v>0.32733937637180294</v>
      </c>
    </row>
    <row r="4" spans="1:8" x14ac:dyDescent="0.35">
      <c r="A4">
        <f>1.8+5.2</f>
        <v>7</v>
      </c>
      <c r="B4">
        <v>400</v>
      </c>
      <c r="F4">
        <v>5513.3103976706907</v>
      </c>
      <c r="G4">
        <v>6</v>
      </c>
    </row>
    <row r="5" spans="1:8" x14ac:dyDescent="0.35">
      <c r="A5">
        <f>1.8+6.5</f>
        <v>8.3000000000000007</v>
      </c>
      <c r="B5">
        <v>500</v>
      </c>
      <c r="F5">
        <v>590.75709359605924</v>
      </c>
      <c r="G5">
        <v>0.64290640394088516</v>
      </c>
    </row>
    <row r="6" spans="1:8" x14ac:dyDescent="0.35">
      <c r="A6">
        <f>1.8+7.9</f>
        <v>9.7000000000000011</v>
      </c>
      <c r="B6">
        <v>600</v>
      </c>
    </row>
    <row r="7" spans="1:8" x14ac:dyDescent="0.35">
      <c r="A7">
        <f>1.8+10.1</f>
        <v>11.9</v>
      </c>
      <c r="B7">
        <v>700</v>
      </c>
    </row>
    <row r="8" spans="1:8" x14ac:dyDescent="0.35">
      <c r="A8">
        <f>1.8+12.2</f>
        <v>14</v>
      </c>
      <c r="B8">
        <v>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Franger</dc:creator>
  <cp:lastModifiedBy>John Franger</cp:lastModifiedBy>
  <dcterms:created xsi:type="dcterms:W3CDTF">2026-10-01T04:49:30Z</dcterms:created>
  <dcterms:modified xsi:type="dcterms:W3CDTF">2026-10-01T05:07:15Z</dcterms:modified>
</cp:coreProperties>
</file>